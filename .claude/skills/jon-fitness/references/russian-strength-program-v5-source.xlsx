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ssian Strength Program V5" sheetId="1" r:id="rId5"/>
  </sheets>
  <definedNames/>
  <calcPr/>
</workbook>
</file>

<file path=xl/sharedStrings.xml><?xml version="1.0" encoding="utf-8"?>
<sst xmlns="http://schemas.openxmlformats.org/spreadsheetml/2006/main" count="258" uniqueCount="46">
  <si>
    <t>Russian Strength Program V5 (4-Day Split)</t>
  </si>
  <si>
    <t>1RM INPUTS</t>
  </si>
  <si>
    <t>Squat:</t>
  </si>
  <si>
    <t>Deadlift:</t>
  </si>
  <si>
    <t>Bench Press:</t>
  </si>
  <si>
    <t>Military Press:</t>
  </si>
  <si>
    <t>Pull-ups (Weighted):</t>
  </si>
  <si>
    <t>RECOMMENDED SPLIT &amp; ACCESSORIES (2-3 Sets x 8-12 Reps)</t>
  </si>
  <si>
    <t>Workout A (Mon/Thu):</t>
  </si>
  <si>
    <t>Squat &amp; Bench Press. Accessories: Bulgarian Split Squats &amp; Dips</t>
  </si>
  <si>
    <t>Workout B (Tue/Fri):</t>
  </si>
  <si>
    <t>Deadlift &amp; Military Press &amp; Pull-ups. Accessories: RDLs &amp; Face Pulls</t>
  </si>
  <si>
    <t>PROGRAM SCHEDULE (9 Weeks)</t>
  </si>
  <si>
    <t>Week</t>
  </si>
  <si>
    <t>Day</t>
  </si>
  <si>
    <t>Workout</t>
  </si>
  <si>
    <t>Sets x Reps</t>
  </si>
  <si>
    <t>Intensity</t>
  </si>
  <si>
    <t>Exercise 1</t>
  </si>
  <si>
    <t>Target Load 1</t>
  </si>
  <si>
    <t>Exercise 2</t>
  </si>
  <si>
    <t>Target Load 2</t>
  </si>
  <si>
    <t>Exercise 3</t>
  </si>
  <si>
    <t>Target Load 3</t>
  </si>
  <si>
    <t>Mon</t>
  </si>
  <si>
    <t>Workout A</t>
  </si>
  <si>
    <t>6 x 2</t>
  </si>
  <si>
    <t>Squat</t>
  </si>
  <si>
    <t>Bench Press</t>
  </si>
  <si>
    <t>-</t>
  </si>
  <si>
    <t>Tue</t>
  </si>
  <si>
    <t>Workout B</t>
  </si>
  <si>
    <t>Deadlift</t>
  </si>
  <si>
    <t>Military Press</t>
  </si>
  <si>
    <t>Pull-ups</t>
  </si>
  <si>
    <t>Thu</t>
  </si>
  <si>
    <t>6 x 3</t>
  </si>
  <si>
    <t>Fri</t>
  </si>
  <si>
    <t>6 x 4</t>
  </si>
  <si>
    <t>6 x 5</t>
  </si>
  <si>
    <t>6 x 6</t>
  </si>
  <si>
    <t>5 x 5</t>
  </si>
  <si>
    <t>4 x 4</t>
  </si>
  <si>
    <t>3 x 3</t>
  </si>
  <si>
    <t>2 x 2</t>
  </si>
  <si>
    <t>1 x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</si>
</sst>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  <c r="B4" s="1">
        <v>100.0</v>
      </c>
    </row>
    <row r="5">
      <c r="A5" s="1" t="s">
        <v>3</v>
      </c>
      <c r="B5" s="1">
        <v>120.0</v>
      </c>
    </row>
    <row r="6">
      <c r="A6" s="1" t="s">
        <v>4</v>
      </c>
      <c r="B6" s="1">
        <v>80.0</v>
      </c>
    </row>
    <row r="7">
      <c r="A7" s="1" t="s">
        <v>5</v>
      </c>
      <c r="B7" s="1">
        <v>70.0</v>
      </c>
    </row>
    <row r="8">
      <c r="A8" s="1" t="s">
        <v>6</v>
      </c>
      <c r="B8" s="1">
        <v>30.0</v>
      </c>
    </row>
    <row r="10">
      <c r="A10" s="1" t="s">
        <v>7</v>
      </c>
    </row>
    <row r="11">
      <c r="A11" s="1" t="s">
        <v>8</v>
      </c>
      <c r="B11" s="1" t="s">
        <v>9</v>
      </c>
    </row>
    <row r="12">
      <c r="A12" s="1" t="s">
        <v>10</v>
      </c>
      <c r="B12" s="1" t="s">
        <v>11</v>
      </c>
    </row>
    <row r="14">
      <c r="A14" s="1" t="s">
        <v>12</v>
      </c>
    </row>
    <row r="1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23</v>
      </c>
    </row>
    <row r="16">
      <c r="A16" s="1">
        <v>1.0</v>
      </c>
      <c r="B16" s="1" t="s">
        <v>24</v>
      </c>
      <c r="C16" s="1" t="s">
        <v>25</v>
      </c>
      <c r="D16" s="1" t="s">
        <v>26</v>
      </c>
      <c r="E16" s="2">
        <v>0.8</v>
      </c>
      <c r="F16" s="1" t="s">
        <v>27</v>
      </c>
      <c r="G16" s="3">
        <f>$B$4*0.8</f>
        <v>80</v>
      </c>
      <c r="H16" s="1" t="s">
        <v>28</v>
      </c>
      <c r="I16" s="3">
        <f>$B$6*0.8</f>
        <v>64</v>
      </c>
      <c r="J16" s="1" t="s">
        <v>29</v>
      </c>
      <c r="K16" s="1" t="s">
        <v>29</v>
      </c>
    </row>
    <row r="17">
      <c r="A17" s="1">
        <v>1.0</v>
      </c>
      <c r="B17" s="1" t="s">
        <v>30</v>
      </c>
      <c r="C17" s="1" t="s">
        <v>31</v>
      </c>
      <c r="D17" s="1" t="s">
        <v>26</v>
      </c>
      <c r="E17" s="2">
        <v>0.8</v>
      </c>
      <c r="F17" s="1" t="s">
        <v>32</v>
      </c>
      <c r="G17" s="3">
        <f>$B$5*0.8</f>
        <v>96</v>
      </c>
      <c r="H17" s="1" t="s">
        <v>33</v>
      </c>
      <c r="I17" s="3">
        <f>$B$7*0.8</f>
        <v>56</v>
      </c>
      <c r="J17" s="1" t="s">
        <v>34</v>
      </c>
      <c r="K17" s="3">
        <f>$B$8*0.8</f>
        <v>24</v>
      </c>
    </row>
    <row r="18">
      <c r="A18" s="1">
        <v>1.0</v>
      </c>
      <c r="B18" s="1" t="s">
        <v>35</v>
      </c>
      <c r="C18" s="1" t="s">
        <v>25</v>
      </c>
      <c r="D18" s="1" t="s">
        <v>36</v>
      </c>
      <c r="E18" s="2">
        <v>0.8</v>
      </c>
      <c r="F18" s="1" t="s">
        <v>27</v>
      </c>
      <c r="G18" s="3">
        <f>$B$4*0.8</f>
        <v>80</v>
      </c>
      <c r="H18" s="1" t="s">
        <v>28</v>
      </c>
      <c r="I18" s="3">
        <f>$B$6*0.8</f>
        <v>64</v>
      </c>
      <c r="J18" s="1" t="s">
        <v>29</v>
      </c>
      <c r="K18" s="1" t="s">
        <v>29</v>
      </c>
    </row>
    <row r="19">
      <c r="A19" s="1">
        <v>1.0</v>
      </c>
      <c r="B19" s="1" t="s">
        <v>37</v>
      </c>
      <c r="C19" s="1" t="s">
        <v>31</v>
      </c>
      <c r="D19" s="1" t="s">
        <v>36</v>
      </c>
      <c r="E19" s="2">
        <v>0.8</v>
      </c>
      <c r="F19" s="1" t="s">
        <v>32</v>
      </c>
      <c r="G19" s="3">
        <f>$B$5*0.8</f>
        <v>96</v>
      </c>
      <c r="H19" s="1" t="s">
        <v>33</v>
      </c>
      <c r="I19" s="3">
        <f>$B$7*0.8</f>
        <v>56</v>
      </c>
      <c r="J19" s="1" t="s">
        <v>34</v>
      </c>
      <c r="K19" s="3">
        <f>$B$8*0.8</f>
        <v>24</v>
      </c>
    </row>
    <row r="20">
      <c r="A20" s="1">
        <v>2.0</v>
      </c>
      <c r="B20" s="1" t="s">
        <v>24</v>
      </c>
      <c r="C20" s="1" t="s">
        <v>25</v>
      </c>
      <c r="D20" s="1" t="s">
        <v>26</v>
      </c>
      <c r="E20" s="2">
        <v>0.8</v>
      </c>
      <c r="F20" s="1" t="s">
        <v>27</v>
      </c>
      <c r="G20" s="3">
        <f>$B$4*0.8</f>
        <v>80</v>
      </c>
      <c r="H20" s="1" t="s">
        <v>28</v>
      </c>
      <c r="I20" s="3">
        <f>$B$6*0.8</f>
        <v>64</v>
      </c>
      <c r="J20" s="1" t="s">
        <v>29</v>
      </c>
      <c r="K20" s="1" t="s">
        <v>29</v>
      </c>
    </row>
    <row r="21">
      <c r="A21" s="1">
        <v>2.0</v>
      </c>
      <c r="B21" s="1" t="s">
        <v>30</v>
      </c>
      <c r="C21" s="1" t="s">
        <v>31</v>
      </c>
      <c r="D21" s="1" t="s">
        <v>26</v>
      </c>
      <c r="E21" s="2">
        <v>0.8</v>
      </c>
      <c r="F21" s="1" t="s">
        <v>32</v>
      </c>
      <c r="G21" s="3">
        <f>$B$5*0.8</f>
        <v>96</v>
      </c>
      <c r="H21" s="1" t="s">
        <v>33</v>
      </c>
      <c r="I21" s="3">
        <f>$B$7*0.8</f>
        <v>56</v>
      </c>
      <c r="J21" s="1" t="s">
        <v>34</v>
      </c>
      <c r="K21" s="3">
        <f>$B$8*0.8</f>
        <v>24</v>
      </c>
    </row>
    <row r="22">
      <c r="A22" s="1">
        <v>2.0</v>
      </c>
      <c r="B22" s="1" t="s">
        <v>35</v>
      </c>
      <c r="C22" s="1" t="s">
        <v>25</v>
      </c>
      <c r="D22" s="1" t="s">
        <v>38</v>
      </c>
      <c r="E22" s="2">
        <v>0.8</v>
      </c>
      <c r="F22" s="1" t="s">
        <v>27</v>
      </c>
      <c r="G22" s="3">
        <f>$B$4*0.8</f>
        <v>80</v>
      </c>
      <c r="H22" s="1" t="s">
        <v>28</v>
      </c>
      <c r="I22" s="3">
        <f>$B$6*0.8</f>
        <v>64</v>
      </c>
      <c r="J22" s="1" t="s">
        <v>29</v>
      </c>
      <c r="K22" s="1" t="s">
        <v>29</v>
      </c>
    </row>
    <row r="23">
      <c r="A23" s="1">
        <v>2.0</v>
      </c>
      <c r="B23" s="1" t="s">
        <v>37</v>
      </c>
      <c r="C23" s="1" t="s">
        <v>31</v>
      </c>
      <c r="D23" s="1" t="s">
        <v>38</v>
      </c>
      <c r="E23" s="2">
        <v>0.8</v>
      </c>
      <c r="F23" s="1" t="s">
        <v>32</v>
      </c>
      <c r="G23" s="3">
        <f>$B$5*0.8</f>
        <v>96</v>
      </c>
      <c r="H23" s="1" t="s">
        <v>33</v>
      </c>
      <c r="I23" s="3">
        <f>$B$7*0.8</f>
        <v>56</v>
      </c>
      <c r="J23" s="1" t="s">
        <v>34</v>
      </c>
      <c r="K23" s="3">
        <f>$B$8*0.8</f>
        <v>24</v>
      </c>
    </row>
    <row r="24">
      <c r="A24" s="1">
        <v>3.0</v>
      </c>
      <c r="B24" s="1" t="s">
        <v>24</v>
      </c>
      <c r="C24" s="1" t="s">
        <v>25</v>
      </c>
      <c r="D24" s="1" t="s">
        <v>26</v>
      </c>
      <c r="E24" s="2">
        <v>0.8</v>
      </c>
      <c r="F24" s="1" t="s">
        <v>27</v>
      </c>
      <c r="G24" s="3">
        <f>$B$4*0.8</f>
        <v>80</v>
      </c>
      <c r="H24" s="1" t="s">
        <v>28</v>
      </c>
      <c r="I24" s="3">
        <f>$B$6*0.8</f>
        <v>64</v>
      </c>
      <c r="J24" s="1" t="s">
        <v>29</v>
      </c>
      <c r="K24" s="1" t="s">
        <v>29</v>
      </c>
    </row>
    <row r="25">
      <c r="A25" s="1">
        <v>3.0</v>
      </c>
      <c r="B25" s="1" t="s">
        <v>30</v>
      </c>
      <c r="C25" s="1" t="s">
        <v>31</v>
      </c>
      <c r="D25" s="1" t="s">
        <v>26</v>
      </c>
      <c r="E25" s="2">
        <v>0.8</v>
      </c>
      <c r="F25" s="1" t="s">
        <v>32</v>
      </c>
      <c r="G25" s="3">
        <f>$B$5*0.8</f>
        <v>96</v>
      </c>
      <c r="H25" s="1" t="s">
        <v>33</v>
      </c>
      <c r="I25" s="3">
        <f>$B$7*0.8</f>
        <v>56</v>
      </c>
      <c r="J25" s="1" t="s">
        <v>34</v>
      </c>
      <c r="K25" s="3">
        <f>$B$8*0.8</f>
        <v>24</v>
      </c>
    </row>
    <row r="26">
      <c r="A26" s="1">
        <v>3.0</v>
      </c>
      <c r="B26" s="1" t="s">
        <v>35</v>
      </c>
      <c r="C26" s="1" t="s">
        <v>25</v>
      </c>
      <c r="D26" s="1" t="s">
        <v>39</v>
      </c>
      <c r="E26" s="2">
        <v>0.8</v>
      </c>
      <c r="F26" s="1" t="s">
        <v>27</v>
      </c>
      <c r="G26" s="3">
        <f>$B$4*0.8</f>
        <v>80</v>
      </c>
      <c r="H26" s="1" t="s">
        <v>28</v>
      </c>
      <c r="I26" s="3">
        <f>$B$6*0.8</f>
        <v>64</v>
      </c>
      <c r="J26" s="1" t="s">
        <v>29</v>
      </c>
      <c r="K26" s="1" t="s">
        <v>29</v>
      </c>
    </row>
    <row r="27">
      <c r="A27" s="1">
        <v>3.0</v>
      </c>
      <c r="B27" s="1" t="s">
        <v>37</v>
      </c>
      <c r="C27" s="1" t="s">
        <v>31</v>
      </c>
      <c r="D27" s="1" t="s">
        <v>39</v>
      </c>
      <c r="E27" s="2">
        <v>0.8</v>
      </c>
      <c r="F27" s="1" t="s">
        <v>32</v>
      </c>
      <c r="G27" s="3">
        <f>$B$5*0.8</f>
        <v>96</v>
      </c>
      <c r="H27" s="1" t="s">
        <v>33</v>
      </c>
      <c r="I27" s="3">
        <f>$B$7*0.8</f>
        <v>56</v>
      </c>
      <c r="J27" s="1" t="s">
        <v>34</v>
      </c>
      <c r="K27" s="3">
        <f>$B$8*0.8</f>
        <v>24</v>
      </c>
    </row>
    <row r="28">
      <c r="A28" s="1">
        <v>4.0</v>
      </c>
      <c r="B28" s="1" t="s">
        <v>24</v>
      </c>
      <c r="C28" s="1" t="s">
        <v>25</v>
      </c>
      <c r="D28" s="1" t="s">
        <v>26</v>
      </c>
      <c r="E28" s="2">
        <v>0.8</v>
      </c>
      <c r="F28" s="1" t="s">
        <v>27</v>
      </c>
      <c r="G28" s="3">
        <f>$B$4*0.8</f>
        <v>80</v>
      </c>
      <c r="H28" s="1" t="s">
        <v>28</v>
      </c>
      <c r="I28" s="3">
        <f>$B$6*0.8</f>
        <v>64</v>
      </c>
      <c r="J28" s="1" t="s">
        <v>29</v>
      </c>
      <c r="K28" s="1" t="s">
        <v>29</v>
      </c>
    </row>
    <row r="29">
      <c r="A29" s="1">
        <v>4.0</v>
      </c>
      <c r="B29" s="1" t="s">
        <v>30</v>
      </c>
      <c r="C29" s="1" t="s">
        <v>31</v>
      </c>
      <c r="D29" s="1" t="s">
        <v>26</v>
      </c>
      <c r="E29" s="2">
        <v>0.8</v>
      </c>
      <c r="F29" s="1" t="s">
        <v>32</v>
      </c>
      <c r="G29" s="3">
        <f>$B$5*0.8</f>
        <v>96</v>
      </c>
      <c r="H29" s="1" t="s">
        <v>33</v>
      </c>
      <c r="I29" s="3">
        <f>$B$7*0.8</f>
        <v>56</v>
      </c>
      <c r="J29" s="1" t="s">
        <v>34</v>
      </c>
      <c r="K29" s="3">
        <f>$B$8*0.8</f>
        <v>24</v>
      </c>
    </row>
    <row r="30">
      <c r="A30" s="1">
        <v>4.0</v>
      </c>
      <c r="B30" s="1" t="s">
        <v>35</v>
      </c>
      <c r="C30" s="1" t="s">
        <v>25</v>
      </c>
      <c r="D30" s="1" t="s">
        <v>40</v>
      </c>
      <c r="E30" s="2">
        <v>0.8</v>
      </c>
      <c r="F30" s="1" t="s">
        <v>27</v>
      </c>
      <c r="G30" s="3">
        <f>$B$4*0.8</f>
        <v>80</v>
      </c>
      <c r="H30" s="1" t="s">
        <v>28</v>
      </c>
      <c r="I30" s="3">
        <f>$B$6*0.8</f>
        <v>64</v>
      </c>
      <c r="J30" s="1" t="s">
        <v>29</v>
      </c>
      <c r="K30" s="1" t="s">
        <v>29</v>
      </c>
    </row>
    <row r="31">
      <c r="A31" s="1">
        <v>4.0</v>
      </c>
      <c r="B31" s="1" t="s">
        <v>37</v>
      </c>
      <c r="C31" s="1" t="s">
        <v>31</v>
      </c>
      <c r="D31" s="1" t="s">
        <v>40</v>
      </c>
      <c r="E31" s="2">
        <v>0.8</v>
      </c>
      <c r="F31" s="1" t="s">
        <v>32</v>
      </c>
      <c r="G31" s="3">
        <f>$B$5*0.8</f>
        <v>96</v>
      </c>
      <c r="H31" s="1" t="s">
        <v>33</v>
      </c>
      <c r="I31" s="3">
        <f>$B$7*0.8</f>
        <v>56</v>
      </c>
      <c r="J31" s="1" t="s">
        <v>34</v>
      </c>
      <c r="K31" s="3">
        <f>$B$8*0.8</f>
        <v>24</v>
      </c>
    </row>
    <row r="32">
      <c r="A32" s="1">
        <v>5.0</v>
      </c>
      <c r="B32" s="1" t="s">
        <v>24</v>
      </c>
      <c r="C32" s="1" t="s">
        <v>25</v>
      </c>
      <c r="D32" s="1" t="s">
        <v>26</v>
      </c>
      <c r="E32" s="2">
        <v>0.8</v>
      </c>
      <c r="F32" s="1" t="s">
        <v>27</v>
      </c>
      <c r="G32" s="3">
        <f>$B$4*0.8</f>
        <v>80</v>
      </c>
      <c r="H32" s="1" t="s">
        <v>28</v>
      </c>
      <c r="I32" s="3">
        <f>$B$6*0.8</f>
        <v>64</v>
      </c>
      <c r="J32" s="1" t="s">
        <v>29</v>
      </c>
      <c r="K32" s="1" t="s">
        <v>29</v>
      </c>
    </row>
    <row r="33">
      <c r="A33" s="1">
        <v>5.0</v>
      </c>
      <c r="B33" s="1" t="s">
        <v>30</v>
      </c>
      <c r="C33" s="1" t="s">
        <v>31</v>
      </c>
      <c r="D33" s="1" t="s">
        <v>26</v>
      </c>
      <c r="E33" s="2">
        <v>0.8</v>
      </c>
      <c r="F33" s="1" t="s">
        <v>32</v>
      </c>
      <c r="G33" s="3">
        <f>$B$5*0.8</f>
        <v>96</v>
      </c>
      <c r="H33" s="1" t="s">
        <v>33</v>
      </c>
      <c r="I33" s="3">
        <f>$B$7*0.8</f>
        <v>56</v>
      </c>
      <c r="J33" s="1" t="s">
        <v>34</v>
      </c>
      <c r="K33" s="3">
        <f>$B$8*0.8</f>
        <v>24</v>
      </c>
    </row>
    <row r="34">
      <c r="A34" s="1">
        <v>5.0</v>
      </c>
      <c r="B34" s="1" t="s">
        <v>35</v>
      </c>
      <c r="C34" s="1" t="s">
        <v>25</v>
      </c>
      <c r="D34" s="1" t="s">
        <v>41</v>
      </c>
      <c r="E34" s="2">
        <v>0.85</v>
      </c>
      <c r="F34" s="1" t="s">
        <v>27</v>
      </c>
      <c r="G34" s="3">
        <f>$B$4*0.85</f>
        <v>85</v>
      </c>
      <c r="H34" s="1" t="s">
        <v>28</v>
      </c>
      <c r="I34" s="3">
        <f>$B$6*0.85</f>
        <v>68</v>
      </c>
      <c r="J34" s="1" t="s">
        <v>29</v>
      </c>
      <c r="K34" s="1" t="s">
        <v>29</v>
      </c>
    </row>
    <row r="35">
      <c r="A35" s="1">
        <v>5.0</v>
      </c>
      <c r="B35" s="1" t="s">
        <v>37</v>
      </c>
      <c r="C35" s="1" t="s">
        <v>31</v>
      </c>
      <c r="D35" s="1" t="s">
        <v>41</v>
      </c>
      <c r="E35" s="2">
        <v>0.85</v>
      </c>
      <c r="F35" s="1" t="s">
        <v>32</v>
      </c>
      <c r="G35" s="3">
        <f>$B$5*0.85</f>
        <v>102</v>
      </c>
      <c r="H35" s="1" t="s">
        <v>33</v>
      </c>
      <c r="I35" s="3">
        <f>$B$7*0.85</f>
        <v>59.5</v>
      </c>
      <c r="J35" s="1" t="s">
        <v>34</v>
      </c>
      <c r="K35" s="3">
        <f>$B$8*0.85</f>
        <v>25.5</v>
      </c>
    </row>
    <row r="36">
      <c r="A36" s="1">
        <v>6.0</v>
      </c>
      <c r="B36" s="1" t="s">
        <v>24</v>
      </c>
      <c r="C36" s="1" t="s">
        <v>25</v>
      </c>
      <c r="D36" s="1" t="s">
        <v>26</v>
      </c>
      <c r="E36" s="2">
        <v>0.8</v>
      </c>
      <c r="F36" s="1" t="s">
        <v>27</v>
      </c>
      <c r="G36" s="3">
        <f>$B$4*0.8</f>
        <v>80</v>
      </c>
      <c r="H36" s="1" t="s">
        <v>28</v>
      </c>
      <c r="I36" s="3">
        <f>$B$6*0.8</f>
        <v>64</v>
      </c>
      <c r="J36" s="1" t="s">
        <v>29</v>
      </c>
      <c r="K36" s="1" t="s">
        <v>29</v>
      </c>
    </row>
    <row r="37">
      <c r="A37" s="1">
        <v>6.0</v>
      </c>
      <c r="B37" s="1" t="s">
        <v>30</v>
      </c>
      <c r="C37" s="1" t="s">
        <v>31</v>
      </c>
      <c r="D37" s="1" t="s">
        <v>26</v>
      </c>
      <c r="E37" s="2">
        <v>0.8</v>
      </c>
      <c r="F37" s="1" t="s">
        <v>32</v>
      </c>
      <c r="G37" s="3">
        <f>$B$5*0.8</f>
        <v>96</v>
      </c>
      <c r="H37" s="1" t="s">
        <v>33</v>
      </c>
      <c r="I37" s="3">
        <f>$B$7*0.8</f>
        <v>56</v>
      </c>
      <c r="J37" s="1" t="s">
        <v>34</v>
      </c>
      <c r="K37" s="3">
        <f>$B$8*0.8</f>
        <v>24</v>
      </c>
    </row>
    <row r="38">
      <c r="A38" s="1">
        <v>6.0</v>
      </c>
      <c r="B38" s="1" t="s">
        <v>35</v>
      </c>
      <c r="C38" s="1" t="s">
        <v>25</v>
      </c>
      <c r="D38" s="1" t="s">
        <v>42</v>
      </c>
      <c r="E38" s="2">
        <v>0.9</v>
      </c>
      <c r="F38" s="1" t="s">
        <v>27</v>
      </c>
      <c r="G38" s="3">
        <f>$B$4*0.9</f>
        <v>90</v>
      </c>
      <c r="H38" s="1" t="s">
        <v>28</v>
      </c>
      <c r="I38" s="3">
        <f>$B$6*0.9</f>
        <v>72</v>
      </c>
      <c r="J38" s="1" t="s">
        <v>29</v>
      </c>
      <c r="K38" s="1" t="s">
        <v>29</v>
      </c>
    </row>
    <row r="39">
      <c r="A39" s="1">
        <v>6.0</v>
      </c>
      <c r="B39" s="1" t="s">
        <v>37</v>
      </c>
      <c r="C39" s="1" t="s">
        <v>31</v>
      </c>
      <c r="D39" s="1" t="s">
        <v>42</v>
      </c>
      <c r="E39" s="2">
        <v>0.9</v>
      </c>
      <c r="F39" s="1" t="s">
        <v>32</v>
      </c>
      <c r="G39" s="3">
        <f>$B$5*0.9</f>
        <v>108</v>
      </c>
      <c r="H39" s="1" t="s">
        <v>33</v>
      </c>
      <c r="I39" s="3">
        <f>$B$7*0.9</f>
        <v>63</v>
      </c>
      <c r="J39" s="1" t="s">
        <v>34</v>
      </c>
      <c r="K39" s="3">
        <f>$B$8*0.9</f>
        <v>27</v>
      </c>
    </row>
    <row r="40">
      <c r="A40" s="1">
        <v>7.0</v>
      </c>
      <c r="B40" s="1" t="s">
        <v>24</v>
      </c>
      <c r="C40" s="1" t="s">
        <v>25</v>
      </c>
      <c r="D40" s="1" t="s">
        <v>26</v>
      </c>
      <c r="E40" s="2">
        <v>0.8</v>
      </c>
      <c r="F40" s="1" t="s">
        <v>27</v>
      </c>
      <c r="G40" s="3">
        <f>$B$4*0.8</f>
        <v>80</v>
      </c>
      <c r="H40" s="1" t="s">
        <v>28</v>
      </c>
      <c r="I40" s="3">
        <f>$B$6*0.8</f>
        <v>64</v>
      </c>
      <c r="J40" s="1" t="s">
        <v>29</v>
      </c>
      <c r="K40" s="1" t="s">
        <v>29</v>
      </c>
    </row>
    <row r="41">
      <c r="A41" s="1">
        <v>7.0</v>
      </c>
      <c r="B41" s="1" t="s">
        <v>30</v>
      </c>
      <c r="C41" s="1" t="s">
        <v>31</v>
      </c>
      <c r="D41" s="1" t="s">
        <v>26</v>
      </c>
      <c r="E41" s="2">
        <v>0.8</v>
      </c>
      <c r="F41" s="1" t="s">
        <v>32</v>
      </c>
      <c r="G41" s="3">
        <f>$B$5*0.8</f>
        <v>96</v>
      </c>
      <c r="H41" s="1" t="s">
        <v>33</v>
      </c>
      <c r="I41" s="3">
        <f>$B$7*0.8</f>
        <v>56</v>
      </c>
      <c r="J41" s="1" t="s">
        <v>34</v>
      </c>
      <c r="K41" s="3">
        <f>$B$8*0.8</f>
        <v>24</v>
      </c>
    </row>
    <row r="42">
      <c r="A42" s="1">
        <v>7.0</v>
      </c>
      <c r="B42" s="1" t="s">
        <v>35</v>
      </c>
      <c r="C42" s="1" t="s">
        <v>25</v>
      </c>
      <c r="D42" s="1" t="s">
        <v>43</v>
      </c>
      <c r="E42" s="2">
        <v>0.95</v>
      </c>
      <c r="F42" s="1" t="s">
        <v>27</v>
      </c>
      <c r="G42" s="3">
        <f>$B$4*0.95</f>
        <v>95</v>
      </c>
      <c r="H42" s="1" t="s">
        <v>28</v>
      </c>
      <c r="I42" s="3">
        <f>$B$6*0.95</f>
        <v>76</v>
      </c>
      <c r="J42" s="1" t="s">
        <v>29</v>
      </c>
      <c r="K42" s="1" t="s">
        <v>29</v>
      </c>
    </row>
    <row r="43">
      <c r="A43" s="1">
        <v>7.0</v>
      </c>
      <c r="B43" s="1" t="s">
        <v>37</v>
      </c>
      <c r="C43" s="1" t="s">
        <v>31</v>
      </c>
      <c r="D43" s="1" t="s">
        <v>43</v>
      </c>
      <c r="E43" s="2">
        <v>0.95</v>
      </c>
      <c r="F43" s="1" t="s">
        <v>32</v>
      </c>
      <c r="G43" s="3">
        <f>$B$5*0.95</f>
        <v>114</v>
      </c>
      <c r="H43" s="1" t="s">
        <v>33</v>
      </c>
      <c r="I43" s="3">
        <f>$B$7*0.95</f>
        <v>66.5</v>
      </c>
      <c r="J43" s="1" t="s">
        <v>34</v>
      </c>
      <c r="K43" s="3">
        <f>$B$8*0.95</f>
        <v>28.5</v>
      </c>
    </row>
    <row r="44">
      <c r="A44" s="1">
        <v>8.0</v>
      </c>
      <c r="B44" s="1" t="s">
        <v>24</v>
      </c>
      <c r="C44" s="1" t="s">
        <v>25</v>
      </c>
      <c r="D44" s="1" t="s">
        <v>26</v>
      </c>
      <c r="E44" s="2">
        <v>0.8</v>
      </c>
      <c r="F44" s="1" t="s">
        <v>27</v>
      </c>
      <c r="G44" s="3">
        <f>$B$4*0.8</f>
        <v>80</v>
      </c>
      <c r="H44" s="1" t="s">
        <v>28</v>
      </c>
      <c r="I44" s="3">
        <f>$B$6*0.8</f>
        <v>64</v>
      </c>
      <c r="J44" s="1" t="s">
        <v>29</v>
      </c>
      <c r="K44" s="1" t="s">
        <v>29</v>
      </c>
    </row>
    <row r="45">
      <c r="A45" s="1">
        <v>8.0</v>
      </c>
      <c r="B45" s="1" t="s">
        <v>30</v>
      </c>
      <c r="C45" s="1" t="s">
        <v>31</v>
      </c>
      <c r="D45" s="1" t="s">
        <v>26</v>
      </c>
      <c r="E45" s="2">
        <v>0.8</v>
      </c>
      <c r="F45" s="1" t="s">
        <v>32</v>
      </c>
      <c r="G45" s="3">
        <f>$B$5*0.8</f>
        <v>96</v>
      </c>
      <c r="H45" s="1" t="s">
        <v>33</v>
      </c>
      <c r="I45" s="3">
        <f>$B$7*0.8</f>
        <v>56</v>
      </c>
      <c r="J45" s="1" t="s">
        <v>34</v>
      </c>
      <c r="K45" s="3">
        <f>$B$8*0.8</f>
        <v>24</v>
      </c>
    </row>
    <row r="46">
      <c r="A46" s="1">
        <v>8.0</v>
      </c>
      <c r="B46" s="1" t="s">
        <v>35</v>
      </c>
      <c r="C46" s="1" t="s">
        <v>25</v>
      </c>
      <c r="D46" s="1" t="s">
        <v>44</v>
      </c>
      <c r="E46" s="2">
        <v>1.0</v>
      </c>
      <c r="F46" s="1" t="s">
        <v>27</v>
      </c>
      <c r="G46" s="3">
        <f>$B$4*1</f>
        <v>100</v>
      </c>
      <c r="H46" s="1" t="s">
        <v>28</v>
      </c>
      <c r="I46" s="3">
        <f>$B$6*1</f>
        <v>80</v>
      </c>
      <c r="J46" s="1" t="s">
        <v>29</v>
      </c>
      <c r="K46" s="1" t="s">
        <v>29</v>
      </c>
    </row>
    <row r="47">
      <c r="A47" s="1">
        <v>8.0</v>
      </c>
      <c r="B47" s="1" t="s">
        <v>37</v>
      </c>
      <c r="C47" s="1" t="s">
        <v>31</v>
      </c>
      <c r="D47" s="1" t="s">
        <v>44</v>
      </c>
      <c r="E47" s="2">
        <v>1.0</v>
      </c>
      <c r="F47" s="1" t="s">
        <v>32</v>
      </c>
      <c r="G47" s="3">
        <f>$B$5*1</f>
        <v>120</v>
      </c>
      <c r="H47" s="1" t="s">
        <v>33</v>
      </c>
      <c r="I47" s="3">
        <f>$B$7*1</f>
        <v>70</v>
      </c>
      <c r="J47" s="1" t="s">
        <v>34</v>
      </c>
      <c r="K47" s="3">
        <f>$B$8*1</f>
        <v>30</v>
      </c>
    </row>
    <row r="48">
      <c r="A48" s="1">
        <v>9.0</v>
      </c>
      <c r="B48" s="1" t="s">
        <v>24</v>
      </c>
      <c r="C48" s="1" t="s">
        <v>25</v>
      </c>
      <c r="D48" s="1" t="s">
        <v>26</v>
      </c>
      <c r="E48" s="2">
        <v>0.8</v>
      </c>
      <c r="F48" s="1" t="s">
        <v>27</v>
      </c>
      <c r="G48" s="3">
        <f>$B$4*0.8</f>
        <v>80</v>
      </c>
      <c r="H48" s="1" t="s">
        <v>28</v>
      </c>
      <c r="I48" s="3">
        <f>$B$6*0.8</f>
        <v>64</v>
      </c>
      <c r="J48" s="1" t="s">
        <v>29</v>
      </c>
      <c r="K48" s="1" t="s">
        <v>29</v>
      </c>
    </row>
    <row r="49">
      <c r="A49" s="1">
        <v>9.0</v>
      </c>
      <c r="B49" s="1" t="s">
        <v>30</v>
      </c>
      <c r="C49" s="1" t="s">
        <v>31</v>
      </c>
      <c r="D49" s="1" t="s">
        <v>26</v>
      </c>
      <c r="E49" s="2">
        <v>0.8</v>
      </c>
      <c r="F49" s="1" t="s">
        <v>32</v>
      </c>
      <c r="G49" s="3">
        <f>$B$5*0.8</f>
        <v>96</v>
      </c>
      <c r="H49" s="1" t="s">
        <v>33</v>
      </c>
      <c r="I49" s="3">
        <f>$B$7*0.8</f>
        <v>56</v>
      </c>
      <c r="J49" s="1" t="s">
        <v>34</v>
      </c>
      <c r="K49" s="3">
        <f>$B$8*0.8</f>
        <v>24</v>
      </c>
    </row>
    <row r="50">
      <c r="A50" s="1">
        <v>9.0</v>
      </c>
      <c r="B50" s="1" t="s">
        <v>35</v>
      </c>
      <c r="C50" s="1" t="s">
        <v>25</v>
      </c>
      <c r="D50" s="1" t="s">
        <v>45</v>
      </c>
      <c r="E50" s="2">
        <v>1.05</v>
      </c>
      <c r="F50" s="1" t="s">
        <v>27</v>
      </c>
      <c r="G50" s="3">
        <f>$B$4*1.05</f>
        <v>105</v>
      </c>
      <c r="H50" s="1" t="s">
        <v>28</v>
      </c>
      <c r="I50" s="3">
        <f>$B$6*1.05</f>
        <v>84</v>
      </c>
      <c r="J50" s="1" t="s">
        <v>29</v>
      </c>
      <c r="K50" s="1" t="s">
        <v>29</v>
      </c>
    </row>
    <row r="51">
      <c r="A51" s="1">
        <v>9.0</v>
      </c>
      <c r="B51" s="1" t="s">
        <v>37</v>
      </c>
      <c r="C51" s="1" t="s">
        <v>31</v>
      </c>
      <c r="D51" s="1" t="s">
        <v>45</v>
      </c>
      <c r="E51" s="2">
        <v>1.05</v>
      </c>
      <c r="F51" s="1" t="s">
        <v>32</v>
      </c>
      <c r="G51" s="3">
        <f>$B$5*1.05</f>
        <v>126</v>
      </c>
      <c r="H51" s="1" t="s">
        <v>33</v>
      </c>
      <c r="I51" s="3">
        <f>$B$7*1.05</f>
        <v>73.5</v>
      </c>
      <c r="J51" s="1" t="s">
        <v>34</v>
      </c>
      <c r="K51" s="3">
        <f>$B$8*1.05</f>
        <v>31.5</v>
      </c>
    </row>
  </sheetData>
  <drawing r:id="rId1"/>
</worksheet>
</file>